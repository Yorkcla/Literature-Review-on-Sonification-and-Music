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sik/Library/Mobile Documents/com~apple~CloudDocs/PhD Research/Literature review - project1/중요 엑셀파일/"/>
    </mc:Choice>
  </mc:AlternateContent>
  <xr:revisionPtr revIDLastSave="0" documentId="13_ncr:1_{2CAAB0BD-6AA1-E04F-9A46-01125F5AB201}" xr6:coauthVersionLast="47" xr6:coauthVersionMax="47" xr10:uidLastSave="{00000000-0000-0000-0000-000000000000}"/>
  <bookViews>
    <workbookView xWindow="30240" yWindow="500" windowWidth="38400" windowHeight="19260" xr2:uid="{533D2020-567D-744A-8886-80213258824C}"/>
  </bookViews>
  <sheets>
    <sheet name="overall(최종)" sheetId="1" r:id="rId1"/>
    <sheet name="Process" sheetId="2" r:id="rId2"/>
    <sheet name="codes and themes" sheetId="8" r:id="rId3"/>
    <sheet name="spec for first" sheetId="3" r:id="rId4"/>
    <sheet name="spec for analysis" sheetId="10" r:id="rId5"/>
    <sheet name="spec for second" sheetId="5" r:id="rId6"/>
    <sheet name="spec for final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1" l="1"/>
  <c r="O12" i="1"/>
  <c r="P20" i="1"/>
  <c r="C7" i="1"/>
  <c r="D7" i="1" s="1"/>
  <c r="P12" i="1"/>
  <c r="O7" i="1"/>
  <c r="P7" i="1" s="1"/>
  <c r="I35" i="1"/>
  <c r="J35" i="1" s="1"/>
  <c r="I28" i="1"/>
  <c r="J28" i="1" s="1"/>
  <c r="I21" i="1"/>
  <c r="J21" i="1" s="1"/>
  <c r="I14" i="1"/>
  <c r="J14" i="1" s="1"/>
  <c r="I7" i="1"/>
  <c r="J7" i="1" s="1"/>
  <c r="C35" i="1"/>
  <c r="D35" i="1" s="1"/>
  <c r="C28" i="1"/>
  <c r="D28" i="1" s="1"/>
  <c r="C21" i="1"/>
  <c r="D21" i="1" s="1"/>
  <c r="C14" i="1"/>
  <c r="D14" i="1" s="1"/>
</calcChain>
</file>

<file path=xl/sharedStrings.xml><?xml version="1.0" encoding="utf-8"?>
<sst xmlns="http://schemas.openxmlformats.org/spreadsheetml/2006/main" count="350" uniqueCount="192">
  <si>
    <t>Library</t>
  </si>
  <si>
    <t>ACM</t>
  </si>
  <si>
    <t>SONIF</t>
  </si>
  <si>
    <t>Target</t>
  </si>
  <si>
    <t>Collecting data with the three keywords in each libarary</t>
  </si>
  <si>
    <t>Manual deletion</t>
  </si>
  <si>
    <t>specification</t>
  </si>
  <si>
    <t>AIP-JASA</t>
  </si>
  <si>
    <t>CAM-OS</t>
  </si>
  <si>
    <t>GT-ICAD</t>
  </si>
  <si>
    <t>IEEE</t>
  </si>
  <si>
    <t>JAES</t>
  </si>
  <si>
    <t>JSTOR</t>
  </si>
  <si>
    <t>SAGE</t>
  </si>
  <si>
    <t>SPRINGER</t>
  </si>
  <si>
    <t>T&amp;F</t>
  </si>
  <si>
    <t>Duplicate deletion</t>
  </si>
  <si>
    <t>Final pool</t>
  </si>
  <si>
    <t>AUdis</t>
  </si>
  <si>
    <t>AUint</t>
  </si>
  <si>
    <t>Total</t>
  </si>
  <si>
    <t>Duplicate</t>
  </si>
  <si>
    <t>Sum</t>
  </si>
  <si>
    <t>AIP</t>
  </si>
  <si>
    <t>JASA</t>
  </si>
  <si>
    <t>CAM</t>
  </si>
  <si>
    <t>OS</t>
  </si>
  <si>
    <t>GT</t>
  </si>
  <si>
    <t>ICAD</t>
  </si>
  <si>
    <t>ANY</t>
  </si>
  <si>
    <t>AES</t>
  </si>
  <si>
    <t>CMJ,LEO,LEOMJ</t>
  </si>
  <si>
    <t>ZENODO</t>
  </si>
  <si>
    <t>NIME</t>
  </si>
  <si>
    <t>keyword and library(data base) selection</t>
  </si>
  <si>
    <t>First pool complete</t>
  </si>
  <si>
    <t>Sum of each sum</t>
  </si>
  <si>
    <t>only title, publication, item type</t>
  </si>
  <si>
    <t>Abstract check and add</t>
  </si>
  <si>
    <t>if not a journal paper or proceeding with an abstract</t>
  </si>
  <si>
    <t>Title and abstract screening</t>
  </si>
  <si>
    <t>Checking if there are both keywords categories</t>
  </si>
  <si>
    <t>Second pool</t>
  </si>
  <si>
    <t>Investigation for final pool</t>
  </si>
  <si>
    <t>if related to my research theme</t>
  </si>
  <si>
    <t xml:space="preserve">need to define the definition of sonification considering the boundary that I want to talk about in this paper </t>
  </si>
  <si>
    <t xml:space="preserve">this(the categories of the searched papers) can be directly connected to the perspective of following analysis </t>
  </si>
  <si>
    <t>don't need to screen all here, this is just a step of the paper removal, otherwise not efficient</t>
  </si>
  <si>
    <t>organised sound delete</t>
  </si>
  <si>
    <t>article only</t>
  </si>
  <si>
    <t>only journal and proceeding papers with abstract</t>
  </si>
  <si>
    <t>research article check</t>
  </si>
  <si>
    <t>journal check</t>
  </si>
  <si>
    <t>articles check</t>
  </si>
  <si>
    <t>proceeding, extended abstract delete</t>
  </si>
  <si>
    <t>same papers delete even in the same search keyword</t>
  </si>
  <si>
    <t>icad check</t>
  </si>
  <si>
    <t>text check</t>
  </si>
  <si>
    <t>proceedings check</t>
  </si>
  <si>
    <t>conferences check</t>
  </si>
  <si>
    <t>journals check</t>
  </si>
  <si>
    <t>feature, feature artice delete</t>
  </si>
  <si>
    <t>only in the 3 target journal databases</t>
  </si>
  <si>
    <t>mazines or not suitable files in Nature delete</t>
  </si>
  <si>
    <t>in general coureses, posters, art gallery, talk, adjunct, magazine, adjunct proceedings(the format is same as extended abstract), book review removed</t>
  </si>
  <si>
    <t>conference paper and article check</t>
  </si>
  <si>
    <t>advanced search, journal articles check</t>
  </si>
  <si>
    <t>research article and short paper check</t>
  </si>
  <si>
    <t>this part just added to the earlier part caculation</t>
  </si>
  <si>
    <t>ai &amp; society, open forum delete</t>
  </si>
  <si>
    <t>괜찮은데 초록이 없는 경우도 제외</t>
  </si>
  <si>
    <t>editorial delete</t>
  </si>
  <si>
    <t>(short paper is different to extended abstract)</t>
  </si>
  <si>
    <t>some computer music journal no abstracts even in the general papers</t>
  </si>
  <si>
    <t>sonification</t>
  </si>
  <si>
    <t>music</t>
  </si>
  <si>
    <t>auditory interface</t>
  </si>
  <si>
    <t>auditory display</t>
  </si>
  <si>
    <t>auditory signal</t>
  </si>
  <si>
    <t>auditory feedback</t>
  </si>
  <si>
    <t>earcon</t>
  </si>
  <si>
    <t>lyricon</t>
  </si>
  <si>
    <t>auditory icon</t>
  </si>
  <si>
    <t>auditory cueing</t>
  </si>
  <si>
    <t>auditory alarm</t>
  </si>
  <si>
    <t>auditory representation</t>
  </si>
  <si>
    <t>auditory biofeedback</t>
  </si>
  <si>
    <t>spearcon</t>
  </si>
  <si>
    <t>melody</t>
  </si>
  <si>
    <t>harmony</t>
  </si>
  <si>
    <t>rhythm</t>
  </si>
  <si>
    <t>music only considering 3 factors other terms can be related to others actualy</t>
  </si>
  <si>
    <t>keywords for title and abstract screening</t>
  </si>
  <si>
    <t xml:space="preserve"> 3 components only</t>
  </si>
  <si>
    <t>auditory cue</t>
  </si>
  <si>
    <t>first</t>
  </si>
  <si>
    <t>delete</t>
  </si>
  <si>
    <t>seond</t>
  </si>
  <si>
    <t>medical</t>
  </si>
  <si>
    <t>musical</t>
  </si>
  <si>
    <t>general</t>
  </si>
  <si>
    <t>for design</t>
  </si>
  <si>
    <t>literature review</t>
  </si>
  <si>
    <t>body movement and multimodal</t>
  </si>
  <si>
    <t>case study</t>
  </si>
  <si>
    <t>뽑아내는 기준</t>
  </si>
  <si>
    <t>단순히 정보의 청각화가 아니라 interface적인 역할을 해야 한다</t>
  </si>
  <si>
    <t>그래서 굳이 따지면, display나 interface가 좀 더 축약적인 정의로 볼 수 있다</t>
  </si>
  <si>
    <t>해당 sonification을 통해서 매개가 되어 사람에게 직접적인 중간 단계, 영향을 주어야 한다는 점에서 분류</t>
  </si>
  <si>
    <t>theoretically, psychologically</t>
  </si>
  <si>
    <t>실용적</t>
  </si>
  <si>
    <t>이론적</t>
  </si>
  <si>
    <t>메디컬</t>
  </si>
  <si>
    <t>음악적</t>
  </si>
  <si>
    <t>제품</t>
  </si>
  <si>
    <t>디자인 방법 그자체</t>
  </si>
  <si>
    <t>리뷰 논문</t>
  </si>
  <si>
    <t>심리적학적</t>
  </si>
  <si>
    <t>최종풀에서는 제외되지만 뭔가 자연과학이랑 sonification이랑 연합된 경우가 생각보다 많다</t>
    <phoneticPr fontId="5" type="noConversion"/>
  </si>
  <si>
    <t>자연과학의 데이터를 청각화하고 이를 심지어 음악적인 요소와 연결짓는 경우가 있다</t>
    <phoneticPr fontId="5" type="noConversion"/>
  </si>
  <si>
    <t>game music</t>
    <phoneticPr fontId="5" type="noConversion"/>
  </si>
  <si>
    <t>sonification and acoustics</t>
    <phoneticPr fontId="5" type="noConversion"/>
  </si>
  <si>
    <t>공간에서의 청각화</t>
    <phoneticPr fontId="5" type="noConversion"/>
  </si>
  <si>
    <t>sports</t>
    <phoneticPr fontId="5" type="noConversion"/>
  </si>
  <si>
    <t>1. auditory interface 어떤 연구인지 분류</t>
    <phoneticPr fontId="5" type="noConversion"/>
  </si>
  <si>
    <t>2. 그 분류 안에서 음악적 적용이 얼마나 이루어졌는지</t>
    <phoneticPr fontId="5" type="noConversion"/>
  </si>
  <si>
    <t>3. 각 분야별로 음악적 적용의 특징이 뭔지</t>
    <phoneticPr fontId="5" type="noConversion"/>
  </si>
  <si>
    <t>4. 전체적으로 종합해서, 어떤 분류의 연구가 진행됐는지 그리고 음악적 적용이 얼마나 됐는지 파악</t>
    <phoneticPr fontId="5" type="noConversion"/>
  </si>
  <si>
    <t>그리고 소니피케이션 내용을 담고 있어도 이게 주된 내용이 아니고 일부로 다루어지는 경우에도 제외</t>
    <phoneticPr fontId="5" type="noConversion"/>
  </si>
  <si>
    <t>가끔 아주 진지하게 음악적인 것 (깊이 있는 것 있음)</t>
    <phoneticPr fontId="5" type="noConversion"/>
  </si>
  <si>
    <t>new tech attached</t>
    <phoneticPr fontId="5" type="noConversion"/>
  </si>
  <si>
    <t>시각을 돕는 형태</t>
    <phoneticPr fontId="5" type="noConversion"/>
  </si>
  <si>
    <t>결국에 서론에서 연구문제를 할 때 human computer interaction이라는 개념을 먼저 넣어야 된다</t>
    <phoneticPr fontId="5" type="noConversion"/>
  </si>
  <si>
    <t>아니고서는 뽑아내는 기준에서 단순히 청각화에 집중한 연구는 뺀다는 논리를 말하기 어렵다</t>
    <phoneticPr fontId="5" type="noConversion"/>
  </si>
  <si>
    <t>결국에 청각화된 것이 추후에 사람과의 인터렉션을 요구하지만 적어도 여기에서는 제외한다.</t>
    <phoneticPr fontId="5" type="noConversion"/>
  </si>
  <si>
    <t>신기한점은 그래도 내가 연구문제로 삼고 있는 것들이 연구된 케이스들이 없지 않다</t>
    <phoneticPr fontId="5" type="noConversion"/>
  </si>
  <si>
    <t>eeg 관련 대체로 제외인데 이게 다시 feedback으로 추후 분석으로 사용되는 논문은 들였다</t>
    <phoneticPr fontId="5" type="noConversion"/>
  </si>
  <si>
    <t>dna도 마찬가지 가능할 듯, natural science 관련 연구 중에서도 단순히 representation에 입각한 것은 제외 하지만 추가적인 interaction이 반영된 것은 추가</t>
    <phoneticPr fontId="5" type="noConversion"/>
  </si>
  <si>
    <t>3d, virtual, spatial</t>
  </si>
  <si>
    <t>target을 고려하거나 context dependent 하거나</t>
  </si>
  <si>
    <t>practical purpose than a artistic resutls</t>
  </si>
  <si>
    <t>소니피케이션을 위한 방법(디자인)에 집중한 연구는 추가되었다 그 결과물이 display적인 성격을 띄는 경우에는</t>
  </si>
  <si>
    <t>단순 시각적 데이터의 청각화를 목표로하는 것</t>
  </si>
  <si>
    <t>목적이 예술철학적 구현을 위한 청각화는 제외</t>
  </si>
  <si>
    <t>하지만 예술적은 접근이여도 구체적인(체계화된) 방법에 의한 현실적 목적을 가지고 있다면 넣음)</t>
  </si>
  <si>
    <t>경험적</t>
  </si>
  <si>
    <t>제목에 sonification and music as a human interface 같은것을 적어주는 것도 나쁘지 않을 듯</t>
  </si>
  <si>
    <t>장애인 돕는 것</t>
  </si>
  <si>
    <t>시각 모달을 돕는 형태</t>
  </si>
  <si>
    <t>햅틱이랑 연결된 경우도 있음</t>
  </si>
  <si>
    <t>연주참여</t>
  </si>
  <si>
    <t>auditory graph</t>
  </si>
  <si>
    <t>Second</t>
  </si>
  <si>
    <t>First</t>
  </si>
  <si>
    <t>Final</t>
  </si>
  <si>
    <t>medical purpose</t>
  </si>
  <si>
    <t>artistic purpose</t>
  </si>
  <si>
    <t>sports related</t>
  </si>
  <si>
    <t>주제</t>
  </si>
  <si>
    <t>방법론</t>
  </si>
  <si>
    <t>game related</t>
  </si>
  <si>
    <t xml:space="preserve">psychological approach </t>
  </si>
  <si>
    <t>theoretical approach</t>
  </si>
  <si>
    <t>spatial acoustics</t>
  </si>
  <si>
    <t>관점</t>
  </si>
  <si>
    <t>3D, virtual, spatial</t>
  </si>
  <si>
    <t>spatial sonification</t>
  </si>
  <si>
    <t>multimodality</t>
  </si>
  <si>
    <t>helping visual aspect</t>
  </si>
  <si>
    <t>handicaped people, especiall visually impaired</t>
  </si>
  <si>
    <t>realted to the haptics</t>
  </si>
  <si>
    <t>음악</t>
  </si>
  <si>
    <t>theoretical</t>
  </si>
  <si>
    <t xml:space="preserve">experiential, practice based </t>
  </si>
  <si>
    <t>product design purpose</t>
  </si>
  <si>
    <t>new-tech attached</t>
  </si>
  <si>
    <t>experiments for psychological approach</t>
  </si>
  <si>
    <t>natural science and sonification</t>
  </si>
  <si>
    <t>audible graph</t>
  </si>
  <si>
    <t>multimodal</t>
  </si>
  <si>
    <t>new tech attached (for using the new tech ways)</t>
  </si>
  <si>
    <t xml:space="preserve">general products </t>
  </si>
  <si>
    <t>helping visual aspect; this can be related to the medical purpose, espically with the visually impaired people</t>
  </si>
  <si>
    <t>주제에 따라서</t>
  </si>
  <si>
    <t>음악에 따라서</t>
  </si>
  <si>
    <t>어떤 지식을 활용하였는가에 대한 것</t>
  </si>
  <si>
    <t>performance experienced</t>
  </si>
  <si>
    <t>1. springer의 경우에는 컨퍼런스나 저널의 내용이 책으로 발간되는 경우가 있기 때문에, 따로 확인하고 년도와 컨퍼런스 이름을 추가로 바꾸어줌</t>
  </si>
  <si>
    <t>2. lemma 머시기 covidence에서 다 하고 나서 하나 뺐음</t>
  </si>
  <si>
    <t>3. toward an emotion 머시기 제외됨 2번처럼</t>
  </si>
  <si>
    <t>4. unleashing 머시기도 제외됨</t>
  </si>
  <si>
    <t>HF,HFES,ERGO IN DE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</si>
</sst>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8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2" fillId="3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2EE58-A12B-7948-8E40-5BF70B8821E8}">
  <dimension ref="A2:Q35"/>
  <sheetViews>
    <sheetView tabSelected="1" zoomScale="150" workbookViewId="0">
      <selection activeCell="Q21" sqref="Q21"/>
    </sheetView>
  </sheetViews>
  <sheetFormatPr baseColWidth="10" defaultRowHeight="16" x14ac:dyDescent="0.2"/>
  <cols>
    <col min="2" max="2" width="10.83203125" customWidth="1"/>
    <col min="8" max="8" width="10.83203125" customWidth="1"/>
  </cols>
  <sheetData>
    <row r="2" spans="1:17" x14ac:dyDescent="0.2">
      <c r="A2" s="2" t="s">
        <v>0</v>
      </c>
      <c r="B2" s="3" t="s">
        <v>1</v>
      </c>
      <c r="C2" s="1"/>
      <c r="D2" s="1"/>
      <c r="G2" s="2" t="s">
        <v>0</v>
      </c>
      <c r="H2" s="3" t="s">
        <v>30</v>
      </c>
      <c r="I2" s="1"/>
      <c r="J2" s="1"/>
      <c r="M2" s="2" t="s">
        <v>0</v>
      </c>
      <c r="N2" s="3" t="s">
        <v>32</v>
      </c>
      <c r="O2" s="1"/>
      <c r="P2" s="1"/>
    </row>
    <row r="3" spans="1:17" x14ac:dyDescent="0.2">
      <c r="A3" s="2" t="s">
        <v>3</v>
      </c>
      <c r="B3" s="3" t="s">
        <v>29</v>
      </c>
      <c r="C3" s="1"/>
      <c r="D3" s="1"/>
      <c r="G3" s="2" t="s">
        <v>3</v>
      </c>
      <c r="H3" s="3" t="s">
        <v>11</v>
      </c>
      <c r="I3" s="1"/>
      <c r="J3" s="1"/>
      <c r="M3" s="2" t="s">
        <v>3</v>
      </c>
      <c r="N3" s="3" t="s">
        <v>33</v>
      </c>
      <c r="O3" s="1"/>
      <c r="P3" s="1"/>
    </row>
    <row r="4" spans="1:17" x14ac:dyDescent="0.2">
      <c r="A4" s="1"/>
      <c r="B4" s="7"/>
      <c r="C4" s="5" t="s">
        <v>2</v>
      </c>
      <c r="D4" s="5" t="s">
        <v>18</v>
      </c>
      <c r="E4" s="5" t="s">
        <v>19</v>
      </c>
      <c r="F4" s="7"/>
      <c r="G4" s="1"/>
      <c r="H4" s="7"/>
      <c r="I4" s="5" t="s">
        <v>2</v>
      </c>
      <c r="J4" s="5" t="s">
        <v>18</v>
      </c>
      <c r="K4" s="5" t="s">
        <v>19</v>
      </c>
      <c r="M4" s="1"/>
      <c r="N4" s="7"/>
      <c r="O4" s="5" t="s">
        <v>2</v>
      </c>
      <c r="P4" s="5" t="s">
        <v>18</v>
      </c>
      <c r="Q4" s="5" t="s">
        <v>19</v>
      </c>
    </row>
    <row r="5" spans="1:17" x14ac:dyDescent="0.2">
      <c r="A5" s="1"/>
      <c r="B5" s="1"/>
      <c r="C5" s="4">
        <v>441</v>
      </c>
      <c r="D5" s="4">
        <v>139</v>
      </c>
      <c r="E5" s="4">
        <v>48</v>
      </c>
      <c r="F5" s="1"/>
      <c r="G5" s="1"/>
      <c r="H5" s="1"/>
      <c r="I5" s="4">
        <v>44</v>
      </c>
      <c r="J5" s="4">
        <v>337</v>
      </c>
      <c r="K5" s="4">
        <v>319</v>
      </c>
      <c r="M5" s="1"/>
      <c r="N5" s="1"/>
      <c r="O5" s="4">
        <v>20</v>
      </c>
      <c r="P5" s="4">
        <v>0</v>
      </c>
      <c r="Q5" s="4">
        <v>0</v>
      </c>
    </row>
    <row r="6" spans="1:17" x14ac:dyDescent="0.2">
      <c r="A6" s="1"/>
      <c r="B6" s="8"/>
      <c r="C6" s="2" t="s">
        <v>22</v>
      </c>
      <c r="D6" s="2" t="s">
        <v>21</v>
      </c>
      <c r="E6" s="2" t="s">
        <v>20</v>
      </c>
      <c r="F6" s="8"/>
      <c r="G6" s="1"/>
      <c r="H6" s="8"/>
      <c r="I6" s="2" t="s">
        <v>22</v>
      </c>
      <c r="J6" s="2" t="s">
        <v>21</v>
      </c>
      <c r="K6" s="2" t="s">
        <v>20</v>
      </c>
      <c r="M6" s="1"/>
      <c r="N6" s="8"/>
      <c r="O6" s="2" t="s">
        <v>22</v>
      </c>
      <c r="P6" s="2" t="s">
        <v>21</v>
      </c>
      <c r="Q6" s="2" t="s">
        <v>20</v>
      </c>
    </row>
    <row r="7" spans="1:17" x14ac:dyDescent="0.2">
      <c r="A7" s="1"/>
      <c r="B7" s="1"/>
      <c r="C7" s="4">
        <f>C5+D5+E5</f>
        <v>628</v>
      </c>
      <c r="D7" s="4">
        <f>C7-E7</f>
        <v>107</v>
      </c>
      <c r="E7" s="6">
        <v>521</v>
      </c>
      <c r="F7" s="9"/>
      <c r="G7" s="1"/>
      <c r="H7" s="1"/>
      <c r="I7" s="4">
        <f>I5+J5+K5</f>
        <v>700</v>
      </c>
      <c r="J7" s="4">
        <f>I7-K7</f>
        <v>220</v>
      </c>
      <c r="K7" s="6">
        <v>480</v>
      </c>
      <c r="M7" s="1"/>
      <c r="N7" s="1"/>
      <c r="O7" s="4">
        <f>O5+P5+Q5</f>
        <v>20</v>
      </c>
      <c r="P7" s="4">
        <f>O7-Q7</f>
        <v>0</v>
      </c>
      <c r="Q7" s="6">
        <v>20</v>
      </c>
    </row>
    <row r="9" spans="1:17" x14ac:dyDescent="0.2">
      <c r="A9" s="2" t="s">
        <v>0</v>
      </c>
      <c r="B9" s="3" t="s">
        <v>23</v>
      </c>
      <c r="C9" s="1"/>
      <c r="D9" s="1"/>
      <c r="G9" s="2" t="s">
        <v>0</v>
      </c>
      <c r="H9" s="3" t="s">
        <v>12</v>
      </c>
      <c r="I9" s="1"/>
      <c r="J9" s="1"/>
    </row>
    <row r="10" spans="1:17" x14ac:dyDescent="0.2">
      <c r="A10" s="2" t="s">
        <v>3</v>
      </c>
      <c r="B10" s="3" t="s">
        <v>24</v>
      </c>
      <c r="C10" s="1"/>
      <c r="D10" s="1"/>
      <c r="G10" s="2" t="s">
        <v>3</v>
      </c>
      <c r="H10" s="3" t="s">
        <v>31</v>
      </c>
      <c r="I10" s="1"/>
      <c r="J10" s="1"/>
      <c r="O10" s="11" t="s">
        <v>153</v>
      </c>
    </row>
    <row r="11" spans="1:17" x14ac:dyDescent="0.2">
      <c r="A11" s="1"/>
      <c r="B11" s="7"/>
      <c r="C11" s="5" t="s">
        <v>2</v>
      </c>
      <c r="D11" s="5" t="s">
        <v>18</v>
      </c>
      <c r="E11" s="5" t="s">
        <v>19</v>
      </c>
      <c r="G11" s="1"/>
      <c r="H11" s="7"/>
      <c r="I11" s="5" t="s">
        <v>2</v>
      </c>
      <c r="J11" s="5" t="s">
        <v>18</v>
      </c>
      <c r="K11" s="5" t="s">
        <v>19</v>
      </c>
      <c r="O11" s="10" t="s">
        <v>22</v>
      </c>
      <c r="P11" s="10" t="s">
        <v>21</v>
      </c>
      <c r="Q11" s="10" t="s">
        <v>20</v>
      </c>
    </row>
    <row r="12" spans="1:17" x14ac:dyDescent="0.2">
      <c r="A12" s="1"/>
      <c r="B12" s="1"/>
      <c r="C12" s="4">
        <v>12</v>
      </c>
      <c r="D12" s="4">
        <v>86</v>
      </c>
      <c r="E12" s="4">
        <v>5</v>
      </c>
      <c r="G12" s="1"/>
      <c r="H12" s="1"/>
      <c r="I12" s="4">
        <v>77</v>
      </c>
      <c r="J12" s="4">
        <v>28</v>
      </c>
      <c r="K12" s="4">
        <v>0</v>
      </c>
      <c r="O12">
        <f>E7+E14+E21+E28+E35+K7+K14+K21+K28+K35+Q7</f>
        <v>3647</v>
      </c>
      <c r="P12">
        <f>O12-Q12</f>
        <v>14</v>
      </c>
      <c r="Q12" s="12">
        <v>3633</v>
      </c>
    </row>
    <row r="13" spans="1:17" x14ac:dyDescent="0.2">
      <c r="A13" s="1"/>
      <c r="B13" s="8"/>
      <c r="C13" s="2" t="s">
        <v>22</v>
      </c>
      <c r="D13" s="2" t="s">
        <v>21</v>
      </c>
      <c r="E13" s="2" t="s">
        <v>20</v>
      </c>
      <c r="G13" s="1"/>
      <c r="H13" s="8"/>
      <c r="I13" s="2" t="s">
        <v>22</v>
      </c>
      <c r="J13" s="2" t="s">
        <v>21</v>
      </c>
      <c r="K13" s="2" t="s">
        <v>20</v>
      </c>
    </row>
    <row r="14" spans="1:17" x14ac:dyDescent="0.2">
      <c r="A14" s="1"/>
      <c r="B14" s="1"/>
      <c r="C14" s="4">
        <f>C12+D12+E12</f>
        <v>103</v>
      </c>
      <c r="D14" s="4">
        <f>C14-E14</f>
        <v>10</v>
      </c>
      <c r="E14" s="6">
        <v>93</v>
      </c>
      <c r="G14" s="1"/>
      <c r="H14" s="1"/>
      <c r="I14" s="4">
        <f>I12+J12+K12</f>
        <v>105</v>
      </c>
      <c r="J14" s="4">
        <f>I14-K14</f>
        <v>21</v>
      </c>
      <c r="K14" s="6">
        <v>84</v>
      </c>
      <c r="O14" s="11" t="s">
        <v>152</v>
      </c>
    </row>
    <row r="15" spans="1:17" x14ac:dyDescent="0.2">
      <c r="O15" s="10" t="s">
        <v>95</v>
      </c>
      <c r="P15" s="10" t="s">
        <v>96</v>
      </c>
      <c r="Q15" s="10" t="s">
        <v>20</v>
      </c>
    </row>
    <row r="16" spans="1:17" x14ac:dyDescent="0.2">
      <c r="A16" s="2" t="s">
        <v>0</v>
      </c>
      <c r="B16" s="3" t="s">
        <v>25</v>
      </c>
      <c r="C16" s="1"/>
      <c r="D16" s="1"/>
      <c r="G16" s="2" t="s">
        <v>0</v>
      </c>
      <c r="H16" s="3" t="s">
        <v>13</v>
      </c>
      <c r="I16" s="1"/>
      <c r="J16" s="1"/>
      <c r="O16">
        <v>3633</v>
      </c>
      <c r="P16">
        <f>O16-Q16</f>
        <v>3246</v>
      </c>
      <c r="Q16" s="12">
        <v>387</v>
      </c>
    </row>
    <row r="17" spans="1:17" x14ac:dyDescent="0.2">
      <c r="A17" s="2" t="s">
        <v>3</v>
      </c>
      <c r="B17" s="3" t="s">
        <v>26</v>
      </c>
      <c r="C17" s="1"/>
      <c r="D17" s="1"/>
      <c r="G17" s="2" t="s">
        <v>3</v>
      </c>
      <c r="H17" s="3" t="s">
        <v>191</v>
      </c>
      <c r="I17" s="1"/>
      <c r="J17" s="1"/>
    </row>
    <row r="18" spans="1:17" x14ac:dyDescent="0.2">
      <c r="A18" s="1"/>
      <c r="B18" s="7"/>
      <c r="C18" s="5" t="s">
        <v>2</v>
      </c>
      <c r="D18" s="5" t="s">
        <v>18</v>
      </c>
      <c r="E18" s="5" t="s">
        <v>19</v>
      </c>
      <c r="G18" s="1"/>
      <c r="H18" s="7"/>
      <c r="I18" s="5" t="s">
        <v>2</v>
      </c>
      <c r="J18" s="5" t="s">
        <v>18</v>
      </c>
      <c r="K18" s="5" t="s">
        <v>19</v>
      </c>
      <c r="O18" s="11" t="s">
        <v>154</v>
      </c>
    </row>
    <row r="19" spans="1:17" x14ac:dyDescent="0.2">
      <c r="A19" s="1"/>
      <c r="B19" s="1"/>
      <c r="C19" s="4">
        <v>587</v>
      </c>
      <c r="D19" s="4">
        <v>6</v>
      </c>
      <c r="E19" s="4">
        <v>0</v>
      </c>
      <c r="G19" s="1"/>
      <c r="H19" s="1"/>
      <c r="I19" s="4">
        <v>48</v>
      </c>
      <c r="J19" s="4">
        <v>54</v>
      </c>
      <c r="K19" s="4">
        <v>7</v>
      </c>
      <c r="O19" s="10" t="s">
        <v>97</v>
      </c>
      <c r="P19" s="10" t="s">
        <v>96</v>
      </c>
      <c r="Q19" s="10" t="s">
        <v>20</v>
      </c>
    </row>
    <row r="20" spans="1:17" x14ac:dyDescent="0.2">
      <c r="A20" s="1"/>
      <c r="B20" s="8"/>
      <c r="C20" s="2" t="s">
        <v>22</v>
      </c>
      <c r="D20" s="2" t="s">
        <v>21</v>
      </c>
      <c r="E20" s="2" t="s">
        <v>20</v>
      </c>
      <c r="G20" s="1"/>
      <c r="H20" s="8"/>
      <c r="I20" s="2" t="s">
        <v>22</v>
      </c>
      <c r="J20" s="2" t="s">
        <v>21</v>
      </c>
      <c r="K20" s="2" t="s">
        <v>20</v>
      </c>
      <c r="O20">
        <v>387</v>
      </c>
      <c r="P20">
        <f>O20-Q20</f>
        <v>188</v>
      </c>
      <c r="Q20" s="12">
        <v>199</v>
      </c>
    </row>
    <row r="21" spans="1:17" x14ac:dyDescent="0.2">
      <c r="A21" s="1"/>
      <c r="B21" s="1"/>
      <c r="C21" s="4">
        <f>C19+D19+E19</f>
        <v>593</v>
      </c>
      <c r="D21" s="4">
        <f>C21-E21</f>
        <v>5</v>
      </c>
      <c r="E21" s="6">
        <v>588</v>
      </c>
      <c r="G21" s="1"/>
      <c r="H21" s="1"/>
      <c r="I21" s="4">
        <f>I19+J19+K19</f>
        <v>109</v>
      </c>
      <c r="J21" s="4">
        <f>I21-K21</f>
        <v>37</v>
      </c>
      <c r="K21" s="6">
        <v>72</v>
      </c>
    </row>
    <row r="23" spans="1:17" x14ac:dyDescent="0.2">
      <c r="A23" s="2" t="s">
        <v>0</v>
      </c>
      <c r="B23" s="3" t="s">
        <v>27</v>
      </c>
      <c r="C23" s="1"/>
      <c r="D23" s="1"/>
      <c r="G23" s="2" t="s">
        <v>0</v>
      </c>
      <c r="H23" s="3" t="s">
        <v>14</v>
      </c>
      <c r="I23" s="1"/>
      <c r="J23" s="1"/>
    </row>
    <row r="24" spans="1:17" x14ac:dyDescent="0.2">
      <c r="A24" s="2" t="s">
        <v>3</v>
      </c>
      <c r="B24" s="3" t="s">
        <v>28</v>
      </c>
      <c r="C24" s="1"/>
      <c r="D24" s="1"/>
      <c r="G24" s="2" t="s">
        <v>3</v>
      </c>
      <c r="H24" s="3" t="s">
        <v>29</v>
      </c>
      <c r="I24" s="1"/>
      <c r="J24" s="1"/>
    </row>
    <row r="25" spans="1:17" x14ac:dyDescent="0.2">
      <c r="A25" s="1"/>
      <c r="B25" s="7"/>
      <c r="C25" s="5" t="s">
        <v>2</v>
      </c>
      <c r="D25" s="5" t="s">
        <v>18</v>
      </c>
      <c r="E25" s="5" t="s">
        <v>19</v>
      </c>
      <c r="G25" s="1"/>
      <c r="H25" s="7"/>
      <c r="I25" s="5" t="s">
        <v>2</v>
      </c>
      <c r="J25" s="5" t="s">
        <v>18</v>
      </c>
      <c r="K25" s="5" t="s">
        <v>19</v>
      </c>
    </row>
    <row r="26" spans="1:17" x14ac:dyDescent="0.2">
      <c r="A26" s="1"/>
      <c r="B26" s="1"/>
      <c r="C26" s="4">
        <v>894</v>
      </c>
      <c r="D26" s="4">
        <v>894</v>
      </c>
      <c r="E26" s="4">
        <v>240</v>
      </c>
      <c r="G26" s="1"/>
      <c r="H26" s="1"/>
      <c r="I26" s="4">
        <v>415</v>
      </c>
      <c r="J26" s="4">
        <v>307</v>
      </c>
      <c r="K26" s="4">
        <v>122</v>
      </c>
    </row>
    <row r="27" spans="1:17" x14ac:dyDescent="0.2">
      <c r="A27" s="1"/>
      <c r="B27" s="8"/>
      <c r="C27" s="2" t="s">
        <v>22</v>
      </c>
      <c r="D27" s="2" t="s">
        <v>21</v>
      </c>
      <c r="E27" s="2" t="s">
        <v>20</v>
      </c>
      <c r="G27" s="1"/>
      <c r="H27" s="8"/>
      <c r="I27" s="2" t="s">
        <v>22</v>
      </c>
      <c r="J27" s="2" t="s">
        <v>21</v>
      </c>
      <c r="K27" s="2" t="s">
        <v>20</v>
      </c>
    </row>
    <row r="28" spans="1:17" x14ac:dyDescent="0.2">
      <c r="A28" s="1"/>
      <c r="B28" s="1"/>
      <c r="C28" s="4">
        <f>C26+D26+E26</f>
        <v>2028</v>
      </c>
      <c r="D28" s="4">
        <f>C28-E28</f>
        <v>1134</v>
      </c>
      <c r="E28" s="6">
        <v>894</v>
      </c>
      <c r="G28" s="1"/>
      <c r="H28" s="1"/>
      <c r="I28" s="4">
        <f>I26+J26+K26</f>
        <v>844</v>
      </c>
      <c r="J28" s="4">
        <f>I28-K28</f>
        <v>223</v>
      </c>
      <c r="K28" s="6">
        <v>621</v>
      </c>
    </row>
    <row r="30" spans="1:17" x14ac:dyDescent="0.2">
      <c r="A30" s="2" t="s">
        <v>0</v>
      </c>
      <c r="B30" s="3" t="s">
        <v>10</v>
      </c>
      <c r="C30" s="1"/>
      <c r="D30" s="1"/>
      <c r="G30" s="2" t="s">
        <v>0</v>
      </c>
      <c r="H30" s="3" t="s">
        <v>15</v>
      </c>
      <c r="I30" s="1"/>
      <c r="J30" s="1"/>
    </row>
    <row r="31" spans="1:17" x14ac:dyDescent="0.2">
      <c r="A31" s="2" t="s">
        <v>3</v>
      </c>
      <c r="B31" s="3" t="s">
        <v>29</v>
      </c>
      <c r="C31" s="1"/>
      <c r="D31" s="1"/>
      <c r="G31" s="2" t="s">
        <v>3</v>
      </c>
      <c r="H31" s="3" t="s">
        <v>29</v>
      </c>
      <c r="I31" s="1"/>
      <c r="J31" s="1"/>
    </row>
    <row r="32" spans="1:17" x14ac:dyDescent="0.2">
      <c r="A32" s="1"/>
      <c r="B32" s="7"/>
      <c r="C32" s="5" t="s">
        <v>2</v>
      </c>
      <c r="D32" s="5" t="s">
        <v>18</v>
      </c>
      <c r="E32" s="5" t="s">
        <v>19</v>
      </c>
      <c r="G32" s="1"/>
      <c r="H32" s="7"/>
      <c r="I32" s="5" t="s">
        <v>2</v>
      </c>
      <c r="J32" s="5" t="s">
        <v>18</v>
      </c>
      <c r="K32" s="5" t="s">
        <v>19</v>
      </c>
    </row>
    <row r="33" spans="1:11" x14ac:dyDescent="0.2">
      <c r="A33" s="1"/>
      <c r="B33" s="1"/>
      <c r="C33" s="4">
        <v>62</v>
      </c>
      <c r="D33" s="4">
        <v>15</v>
      </c>
      <c r="E33" s="4">
        <v>1</v>
      </c>
      <c r="G33" s="1"/>
      <c r="H33" s="1"/>
      <c r="I33" s="4">
        <v>158</v>
      </c>
      <c r="J33" s="4">
        <v>55</v>
      </c>
      <c r="K33" s="4">
        <v>18</v>
      </c>
    </row>
    <row r="34" spans="1:11" x14ac:dyDescent="0.2">
      <c r="A34" s="1"/>
      <c r="B34" s="8"/>
      <c r="C34" s="2" t="s">
        <v>22</v>
      </c>
      <c r="D34" s="2" t="s">
        <v>21</v>
      </c>
      <c r="E34" s="2" t="s">
        <v>20</v>
      </c>
      <c r="G34" s="1"/>
      <c r="H34" s="8"/>
      <c r="I34" s="2" t="s">
        <v>22</v>
      </c>
      <c r="J34" s="2" t="s">
        <v>21</v>
      </c>
      <c r="K34" s="2" t="s">
        <v>20</v>
      </c>
    </row>
    <row r="35" spans="1:11" x14ac:dyDescent="0.2">
      <c r="A35" s="1"/>
      <c r="B35" s="1"/>
      <c r="C35" s="4">
        <f>C33+D33+E33</f>
        <v>78</v>
      </c>
      <c r="D35" s="4">
        <f>C35-E35</f>
        <v>6</v>
      </c>
      <c r="E35" s="6">
        <v>72</v>
      </c>
      <c r="G35" s="1"/>
      <c r="H35" s="1"/>
      <c r="I35" s="4">
        <f>I33+J33+K33</f>
        <v>231</v>
      </c>
      <c r="J35" s="4">
        <f>I35-K35</f>
        <v>29</v>
      </c>
      <c r="K35" s="6">
        <v>202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E065-BFCA-D74A-A4B2-4A6F39350820}">
  <dimension ref="A2:K37"/>
  <sheetViews>
    <sheetView workbookViewId="0">
      <selection activeCell="B6" sqref="B6"/>
    </sheetView>
  </sheetViews>
  <sheetFormatPr baseColWidth="10" defaultRowHeight="16" x14ac:dyDescent="0.2"/>
  <cols>
    <col min="2" max="2" width="97.5" customWidth="1"/>
    <col min="3" max="3" width="38.33203125" customWidth="1"/>
    <col min="4" max="4" width="28.83203125" customWidth="1"/>
    <col min="5" max="5" width="42.33203125" customWidth="1"/>
  </cols>
  <sheetData>
    <row r="2" spans="1:11" ht="17" x14ac:dyDescent="0.2">
      <c r="A2" s="13">
        <v>0</v>
      </c>
      <c r="B2" s="13" t="s">
        <v>34</v>
      </c>
      <c r="C2" s="13"/>
      <c r="D2" s="13"/>
      <c r="E2" s="13"/>
      <c r="F2" s="13"/>
      <c r="G2" s="13"/>
      <c r="H2" s="13"/>
      <c r="I2" s="13"/>
      <c r="J2" s="13"/>
      <c r="K2" s="13"/>
    </row>
    <row r="3" spans="1:11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ht="17" x14ac:dyDescent="0.2">
      <c r="A4" s="13">
        <v>1</v>
      </c>
      <c r="B4" s="13" t="s">
        <v>4</v>
      </c>
      <c r="C4" s="13"/>
      <c r="D4" s="13"/>
      <c r="E4" s="13"/>
      <c r="F4" s="13"/>
      <c r="G4" s="13"/>
      <c r="H4" s="13"/>
      <c r="I4" s="13"/>
      <c r="J4" s="13"/>
      <c r="K4" s="13"/>
    </row>
    <row r="5" spans="1:11" x14ac:dyDescent="0.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</row>
    <row r="6" spans="1:11" ht="51" x14ac:dyDescent="0.2">
      <c r="A6" s="13">
        <v>2</v>
      </c>
      <c r="B6" s="13" t="s">
        <v>5</v>
      </c>
      <c r="C6" s="13" t="s">
        <v>37</v>
      </c>
      <c r="D6" s="13" t="s">
        <v>47</v>
      </c>
      <c r="E6" s="13" t="s">
        <v>70</v>
      </c>
      <c r="F6" s="13"/>
      <c r="G6" s="13"/>
      <c r="H6" s="13"/>
      <c r="I6" s="13"/>
      <c r="J6" s="13"/>
      <c r="K6" s="13"/>
    </row>
    <row r="7" spans="1:11" x14ac:dyDescent="0.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7" x14ac:dyDescent="0.2">
      <c r="A8" s="13">
        <v>3</v>
      </c>
      <c r="B8" s="13" t="s">
        <v>22</v>
      </c>
      <c r="C8" s="13"/>
      <c r="D8" s="13"/>
      <c r="E8" s="13"/>
      <c r="F8" s="13"/>
      <c r="G8" s="13"/>
      <c r="H8" s="13"/>
      <c r="I8" s="13"/>
      <c r="J8" s="13"/>
      <c r="K8" s="13"/>
    </row>
    <row r="9" spans="1:11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</row>
    <row r="10" spans="1:11" ht="17" x14ac:dyDescent="0.2">
      <c r="A10" s="13">
        <v>4</v>
      </c>
      <c r="B10" s="13" t="s">
        <v>16</v>
      </c>
      <c r="C10" s="13"/>
      <c r="D10" s="13"/>
      <c r="E10" s="13"/>
      <c r="F10" s="13"/>
      <c r="G10" s="13"/>
      <c r="H10" s="13"/>
      <c r="I10" s="13"/>
      <c r="J10" s="13"/>
      <c r="K10" s="13"/>
    </row>
    <row r="11" spans="1:11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7" x14ac:dyDescent="0.2">
      <c r="A12" s="13">
        <v>5</v>
      </c>
      <c r="B12" s="13" t="s">
        <v>36</v>
      </c>
      <c r="C12" s="13"/>
      <c r="D12" s="13"/>
      <c r="E12" s="13"/>
      <c r="F12" s="13"/>
      <c r="G12" s="13"/>
      <c r="H12" s="13"/>
      <c r="I12" s="13"/>
      <c r="J12" s="13"/>
      <c r="K12" s="13"/>
    </row>
    <row r="13" spans="1:11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11" ht="17" x14ac:dyDescent="0.2">
      <c r="A14" s="13">
        <v>6</v>
      </c>
      <c r="B14" s="13" t="s">
        <v>16</v>
      </c>
      <c r="C14" s="13"/>
      <c r="D14" s="13"/>
      <c r="E14" s="13"/>
      <c r="F14" s="13"/>
      <c r="G14" s="13"/>
      <c r="H14" s="13"/>
      <c r="I14" s="13"/>
      <c r="J14" s="13"/>
      <c r="K14" s="13"/>
    </row>
    <row r="15" spans="1:11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7" x14ac:dyDescent="0.2">
      <c r="A16" s="13">
        <v>7</v>
      </c>
      <c r="B16" s="13" t="s">
        <v>35</v>
      </c>
      <c r="C16" s="13"/>
      <c r="D16" s="13"/>
      <c r="E16" s="13"/>
      <c r="F16" s="13"/>
      <c r="G16" s="13"/>
      <c r="H16" s="13"/>
      <c r="I16" s="13"/>
      <c r="J16" s="13"/>
      <c r="K16" s="13"/>
    </row>
    <row r="17" spans="1:1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spans="1:11" ht="17" x14ac:dyDescent="0.2">
      <c r="A18" s="13">
        <v>8</v>
      </c>
      <c r="B18" s="13" t="s">
        <v>38</v>
      </c>
      <c r="C18" s="13"/>
      <c r="D18" s="13"/>
      <c r="E18" s="13"/>
      <c r="F18" s="13"/>
      <c r="G18" s="13"/>
      <c r="H18" s="13"/>
      <c r="I18" s="13"/>
      <c r="J18" s="13"/>
      <c r="K18" s="13"/>
    </row>
    <row r="19" spans="1:11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 ht="34" x14ac:dyDescent="0.2">
      <c r="A20" s="13">
        <v>9</v>
      </c>
      <c r="B20" s="13" t="s">
        <v>5</v>
      </c>
      <c r="C20" s="13" t="s">
        <v>39</v>
      </c>
      <c r="D20" s="13" t="s">
        <v>68</v>
      </c>
      <c r="E20" s="13"/>
      <c r="F20" s="13"/>
      <c r="G20" s="13"/>
      <c r="H20" s="13"/>
      <c r="I20" s="13"/>
      <c r="J20" s="13"/>
      <c r="K20" s="13"/>
    </row>
    <row r="21" spans="1:11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34" x14ac:dyDescent="0.2">
      <c r="A22" s="13">
        <v>10</v>
      </c>
      <c r="B22" s="13" t="s">
        <v>40</v>
      </c>
      <c r="C22" s="13" t="s">
        <v>41</v>
      </c>
      <c r="D22" s="13"/>
      <c r="E22" s="13"/>
      <c r="F22" s="13"/>
      <c r="G22" s="13"/>
      <c r="H22" s="13"/>
      <c r="I22" s="13"/>
      <c r="J22" s="13"/>
      <c r="K22" s="13"/>
    </row>
    <row r="23" spans="1:11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7" x14ac:dyDescent="0.2">
      <c r="A24" s="13">
        <v>11</v>
      </c>
      <c r="B24" s="13" t="s">
        <v>42</v>
      </c>
      <c r="C24" s="13"/>
      <c r="D24" s="13"/>
      <c r="E24" s="13"/>
      <c r="F24" s="13"/>
      <c r="G24" s="13"/>
      <c r="H24" s="13"/>
      <c r="I24" s="13"/>
      <c r="J24" s="13"/>
      <c r="K24" s="13"/>
    </row>
    <row r="25" spans="1:11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68" x14ac:dyDescent="0.2">
      <c r="A26" s="13">
        <v>12</v>
      </c>
      <c r="B26" s="13" t="s">
        <v>43</v>
      </c>
      <c r="C26" s="13" t="s">
        <v>44</v>
      </c>
      <c r="D26" s="13" t="s">
        <v>45</v>
      </c>
      <c r="E26" s="13" t="s">
        <v>46</v>
      </c>
      <c r="F26" s="13"/>
      <c r="G26" s="13"/>
      <c r="H26" s="13"/>
      <c r="I26" s="13"/>
      <c r="J26" s="13"/>
      <c r="K26" s="13"/>
    </row>
    <row r="27" spans="1:1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7" x14ac:dyDescent="0.2">
      <c r="A28" s="13">
        <v>13</v>
      </c>
      <c r="B28" s="13" t="s">
        <v>17</v>
      </c>
      <c r="C28" s="13"/>
      <c r="D28" s="13"/>
      <c r="E28" s="13"/>
      <c r="F28" s="13"/>
      <c r="G28" s="13"/>
      <c r="H28" s="13"/>
      <c r="I28" s="13"/>
      <c r="J28" s="13"/>
      <c r="K28" s="13"/>
    </row>
    <row r="29" spans="1:11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spans="1:11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spans="1:11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spans="1:1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spans="1:11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spans="1:11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spans="1:11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spans="1:11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A7D0-615A-934C-9A85-4F0E24C38372}">
  <dimension ref="B3:T43"/>
  <sheetViews>
    <sheetView workbookViewId="0">
      <selection activeCell="N29" sqref="N29"/>
    </sheetView>
  </sheetViews>
  <sheetFormatPr baseColWidth="10" defaultRowHeight="16" x14ac:dyDescent="0.2"/>
  <sheetData>
    <row r="3" spans="2:15" x14ac:dyDescent="0.2">
      <c r="B3" t="s">
        <v>98</v>
      </c>
      <c r="F3" t="s">
        <v>110</v>
      </c>
      <c r="G3" t="s">
        <v>111</v>
      </c>
      <c r="K3" t="s">
        <v>158</v>
      </c>
    </row>
    <row r="4" spans="2:15" x14ac:dyDescent="0.2">
      <c r="B4" t="s">
        <v>99</v>
      </c>
      <c r="C4" t="s">
        <v>111</v>
      </c>
      <c r="D4" t="s">
        <v>145</v>
      </c>
      <c r="E4" t="s">
        <v>150</v>
      </c>
      <c r="F4" t="s">
        <v>112</v>
      </c>
      <c r="G4" t="s">
        <v>116</v>
      </c>
      <c r="K4" t="s">
        <v>155</v>
      </c>
      <c r="M4" t="s">
        <v>169</v>
      </c>
    </row>
    <row r="5" spans="2:15" x14ac:dyDescent="0.2">
      <c r="B5" t="s">
        <v>100</v>
      </c>
      <c r="F5" t="s">
        <v>113</v>
      </c>
      <c r="G5" t="s">
        <v>117</v>
      </c>
      <c r="K5" t="s">
        <v>156</v>
      </c>
    </row>
    <row r="6" spans="2:15" x14ac:dyDescent="0.2">
      <c r="B6" t="s">
        <v>101</v>
      </c>
      <c r="F6" t="s">
        <v>114</v>
      </c>
      <c r="K6" t="s">
        <v>157</v>
      </c>
    </row>
    <row r="7" spans="2:15" x14ac:dyDescent="0.2">
      <c r="B7" t="s">
        <v>102</v>
      </c>
      <c r="G7" t="s">
        <v>115</v>
      </c>
      <c r="K7" t="s">
        <v>160</v>
      </c>
    </row>
    <row r="8" spans="2:15" x14ac:dyDescent="0.2">
      <c r="B8" t="s">
        <v>103</v>
      </c>
      <c r="E8" t="s">
        <v>123</v>
      </c>
      <c r="K8" t="s">
        <v>174</v>
      </c>
    </row>
    <row r="9" spans="2:15" x14ac:dyDescent="0.2">
      <c r="B9" t="s">
        <v>104</v>
      </c>
      <c r="K9" t="s">
        <v>163</v>
      </c>
      <c r="M9" t="s">
        <v>165</v>
      </c>
      <c r="O9" t="s">
        <v>166</v>
      </c>
    </row>
    <row r="10" spans="2:15" x14ac:dyDescent="0.2">
      <c r="B10" t="s">
        <v>109</v>
      </c>
      <c r="K10" t="s">
        <v>167</v>
      </c>
      <c r="M10" t="s">
        <v>168</v>
      </c>
      <c r="O10" t="s">
        <v>170</v>
      </c>
    </row>
    <row r="11" spans="2:15" x14ac:dyDescent="0.2">
      <c r="B11" t="s">
        <v>120</v>
      </c>
      <c r="K11" t="s">
        <v>175</v>
      </c>
    </row>
    <row r="12" spans="2:15" x14ac:dyDescent="0.2">
      <c r="B12" t="s">
        <v>121</v>
      </c>
      <c r="E12" t="s">
        <v>122</v>
      </c>
      <c r="G12" t="s">
        <v>138</v>
      </c>
      <c r="K12" t="s">
        <v>177</v>
      </c>
    </row>
    <row r="13" spans="2:15" x14ac:dyDescent="0.2">
      <c r="B13" t="s">
        <v>129</v>
      </c>
      <c r="K13" t="s">
        <v>178</v>
      </c>
    </row>
    <row r="14" spans="2:15" x14ac:dyDescent="0.2">
      <c r="B14" t="s">
        <v>130</v>
      </c>
      <c r="C14" s="12"/>
      <c r="D14" s="12"/>
      <c r="E14" s="12"/>
      <c r="F14" s="12"/>
      <c r="G14" s="12"/>
      <c r="H14" s="12"/>
    </row>
    <row r="15" spans="2:15" x14ac:dyDescent="0.2">
      <c r="B15" t="s">
        <v>131</v>
      </c>
      <c r="C15" s="12"/>
      <c r="D15" t="s">
        <v>148</v>
      </c>
      <c r="E15" s="12"/>
      <c r="F15" s="12"/>
      <c r="G15" s="12"/>
      <c r="H15" s="12"/>
    </row>
    <row r="16" spans="2:15" x14ac:dyDescent="0.2">
      <c r="B16" t="s">
        <v>147</v>
      </c>
      <c r="C16" s="12"/>
      <c r="D16" s="12"/>
      <c r="E16" s="12"/>
      <c r="F16" s="12"/>
      <c r="G16" s="12"/>
      <c r="H16" s="12"/>
    </row>
    <row r="17" spans="2:20" x14ac:dyDescent="0.2">
      <c r="B17" t="s">
        <v>149</v>
      </c>
      <c r="C17" s="12"/>
      <c r="D17" s="12"/>
      <c r="E17" s="12"/>
      <c r="F17" s="12"/>
      <c r="G17" s="12"/>
      <c r="H17" s="12"/>
      <c r="L17" t="s">
        <v>159</v>
      </c>
      <c r="P17" t="s">
        <v>171</v>
      </c>
      <c r="S17" t="s">
        <v>164</v>
      </c>
    </row>
    <row r="18" spans="2:20" x14ac:dyDescent="0.2">
      <c r="B18" s="12" t="s">
        <v>151</v>
      </c>
      <c r="L18" t="s">
        <v>102</v>
      </c>
      <c r="P18" t="s">
        <v>172</v>
      </c>
      <c r="S18" t="s">
        <v>162</v>
      </c>
    </row>
    <row r="19" spans="2:20" x14ac:dyDescent="0.2">
      <c r="L19" t="s">
        <v>104</v>
      </c>
      <c r="P19" t="s">
        <v>173</v>
      </c>
      <c r="S19" t="s">
        <v>161</v>
      </c>
    </row>
    <row r="20" spans="2:20" x14ac:dyDescent="0.2">
      <c r="L20" t="s">
        <v>176</v>
      </c>
      <c r="S20" t="s">
        <v>180</v>
      </c>
    </row>
    <row r="23" spans="2:20" x14ac:dyDescent="0.2"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2:20" x14ac:dyDescent="0.2"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2:20" ht="34" x14ac:dyDescent="0.2">
      <c r="C25" s="13"/>
      <c r="D25" s="13"/>
      <c r="E25" s="13"/>
      <c r="F25" s="13"/>
      <c r="G25" s="13"/>
      <c r="H25" s="13"/>
      <c r="I25" s="13"/>
      <c r="J25" s="13" t="s">
        <v>183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2:20" x14ac:dyDescent="0.2"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2:20" ht="51" x14ac:dyDescent="0.2">
      <c r="C27" s="13"/>
      <c r="D27" s="13" t="s">
        <v>155</v>
      </c>
      <c r="E27" s="13"/>
      <c r="F27" s="13" t="s">
        <v>156</v>
      </c>
      <c r="G27" s="13"/>
      <c r="H27" s="13" t="s">
        <v>157</v>
      </c>
      <c r="I27" s="13"/>
      <c r="J27" s="13" t="s">
        <v>160</v>
      </c>
      <c r="K27" s="13"/>
      <c r="L27" s="13" t="s">
        <v>181</v>
      </c>
      <c r="M27" s="13"/>
      <c r="N27" s="13" t="s">
        <v>163</v>
      </c>
      <c r="O27" s="13"/>
      <c r="P27" s="13" t="s">
        <v>179</v>
      </c>
      <c r="Q27" s="13"/>
      <c r="R27" s="13" t="s">
        <v>177</v>
      </c>
      <c r="S27" s="13"/>
      <c r="T27" s="13"/>
    </row>
    <row r="28" spans="2:20" x14ac:dyDescent="0.2"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2:20" ht="204" x14ac:dyDescent="0.2"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 t="s">
        <v>182</v>
      </c>
      <c r="Q29" s="13"/>
      <c r="R29" s="13"/>
      <c r="S29" s="13"/>
      <c r="T29" s="13"/>
    </row>
    <row r="30" spans="2:20" ht="34" x14ac:dyDescent="0.2"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 t="s">
        <v>178</v>
      </c>
      <c r="Q30" s="13"/>
      <c r="R30" s="13"/>
      <c r="S30" s="13"/>
      <c r="T30" s="13"/>
    </row>
    <row r="31" spans="2:20" x14ac:dyDescent="0.2"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2:20" x14ac:dyDescent="0.2"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3:20" x14ac:dyDescent="0.2"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3:20" x14ac:dyDescent="0.2"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3:20" x14ac:dyDescent="0.2"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3:20" x14ac:dyDescent="0.2"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3:20" x14ac:dyDescent="0.2"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3:20" x14ac:dyDescent="0.2"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3:20" x14ac:dyDescent="0.2"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3:20" x14ac:dyDescent="0.2">
      <c r="J40" t="s">
        <v>185</v>
      </c>
    </row>
    <row r="41" spans="3:20" x14ac:dyDescent="0.2">
      <c r="J41" s="1" t="s">
        <v>184</v>
      </c>
    </row>
    <row r="43" spans="3:20" x14ac:dyDescent="0.2">
      <c r="F43" t="s">
        <v>172</v>
      </c>
      <c r="M43" t="s">
        <v>186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C7046-2A02-CA4A-9EAF-535ED82B8BE7}">
  <dimension ref="A1:H21"/>
  <sheetViews>
    <sheetView workbookViewId="0">
      <selection activeCell="F3" sqref="F3"/>
    </sheetView>
  </sheetViews>
  <sheetFormatPr baseColWidth="10" defaultRowHeight="16" x14ac:dyDescent="0.2"/>
  <cols>
    <col min="1" max="1" width="26" customWidth="1"/>
    <col min="2" max="2" width="10.83203125" customWidth="1"/>
  </cols>
  <sheetData>
    <row r="1" spans="1:8" ht="289" x14ac:dyDescent="0.2">
      <c r="A1" s="14" t="s">
        <v>6</v>
      </c>
      <c r="B1" s="13"/>
      <c r="C1" s="13" t="s">
        <v>64</v>
      </c>
      <c r="D1" s="13"/>
      <c r="E1" s="13" t="s">
        <v>50</v>
      </c>
      <c r="F1" s="13"/>
      <c r="G1" s="13"/>
      <c r="H1" s="13"/>
    </row>
    <row r="2" spans="1:8" x14ac:dyDescent="0.2">
      <c r="A2" s="15"/>
      <c r="B2" s="13"/>
      <c r="C2" s="13"/>
      <c r="D2" s="13"/>
      <c r="E2" s="13"/>
      <c r="F2" s="13"/>
      <c r="G2" s="13"/>
      <c r="H2" s="13"/>
    </row>
    <row r="3" spans="1:8" ht="85" x14ac:dyDescent="0.2">
      <c r="A3" s="16" t="s">
        <v>1</v>
      </c>
      <c r="B3" s="13" t="s">
        <v>67</v>
      </c>
      <c r="C3" s="13" t="s">
        <v>72</v>
      </c>
      <c r="D3" s="13"/>
      <c r="E3" s="13"/>
      <c r="F3" s="13"/>
      <c r="G3" s="13"/>
      <c r="H3" s="13"/>
    </row>
    <row r="4" spans="1:8" x14ac:dyDescent="0.2">
      <c r="A4" s="15"/>
      <c r="B4" s="13"/>
      <c r="C4" s="13"/>
      <c r="D4" s="13"/>
      <c r="E4" s="13"/>
      <c r="F4" s="13"/>
      <c r="G4" s="13"/>
      <c r="H4" s="13"/>
    </row>
    <row r="5" spans="1:8" ht="51" x14ac:dyDescent="0.2">
      <c r="A5" s="16" t="s">
        <v>7</v>
      </c>
      <c r="B5" s="13" t="s">
        <v>52</v>
      </c>
      <c r="C5" s="13" t="s">
        <v>51</v>
      </c>
      <c r="D5" s="13"/>
      <c r="E5" s="13"/>
      <c r="F5" s="13"/>
      <c r="G5" s="13"/>
      <c r="H5" s="13"/>
    </row>
    <row r="6" spans="1:8" x14ac:dyDescent="0.2">
      <c r="A6" s="15"/>
      <c r="B6" s="13"/>
      <c r="C6" s="13"/>
      <c r="D6" s="13"/>
      <c r="E6" s="13"/>
      <c r="F6" s="13"/>
      <c r="G6" s="13"/>
      <c r="H6" s="13"/>
    </row>
    <row r="7" spans="1:8" ht="102" x14ac:dyDescent="0.2">
      <c r="A7" s="16" t="s">
        <v>8</v>
      </c>
      <c r="B7" s="13" t="s">
        <v>53</v>
      </c>
      <c r="C7" s="13" t="s">
        <v>55</v>
      </c>
      <c r="D7" s="13"/>
      <c r="E7" s="13"/>
      <c r="F7" s="13"/>
      <c r="G7" s="13"/>
      <c r="H7" s="13"/>
    </row>
    <row r="8" spans="1:8" x14ac:dyDescent="0.2">
      <c r="A8" s="15"/>
      <c r="B8" s="13"/>
      <c r="C8" s="13"/>
      <c r="D8" s="13"/>
      <c r="E8" s="13"/>
      <c r="F8" s="13"/>
      <c r="G8" s="13"/>
      <c r="H8" s="13"/>
    </row>
    <row r="9" spans="1:8" ht="68" x14ac:dyDescent="0.2">
      <c r="A9" s="16" t="s">
        <v>9</v>
      </c>
      <c r="B9" s="13" t="s">
        <v>56</v>
      </c>
      <c r="C9" s="13" t="s">
        <v>57</v>
      </c>
      <c r="D9" s="13" t="s">
        <v>58</v>
      </c>
      <c r="E9" s="13" t="s">
        <v>54</v>
      </c>
      <c r="F9" s="13"/>
      <c r="G9" s="13"/>
      <c r="H9" s="13"/>
    </row>
    <row r="10" spans="1:8" x14ac:dyDescent="0.2">
      <c r="A10" s="15"/>
      <c r="B10" s="13"/>
      <c r="C10" s="13"/>
      <c r="D10" s="13"/>
      <c r="E10" s="13"/>
      <c r="F10" s="13"/>
      <c r="G10" s="13"/>
      <c r="H10" s="13"/>
    </row>
    <row r="11" spans="1:8" ht="34" x14ac:dyDescent="0.2">
      <c r="A11" s="16" t="s">
        <v>10</v>
      </c>
      <c r="B11" s="13" t="s">
        <v>59</v>
      </c>
      <c r="C11" s="13" t="s">
        <v>60</v>
      </c>
      <c r="D11" s="13"/>
      <c r="E11" s="13"/>
      <c r="F11" s="13"/>
      <c r="G11" s="13"/>
      <c r="H11" s="13"/>
    </row>
    <row r="12" spans="1:8" x14ac:dyDescent="0.2">
      <c r="A12" s="15"/>
      <c r="B12" s="13"/>
      <c r="C12" s="13"/>
      <c r="D12" s="13"/>
      <c r="E12" s="13"/>
      <c r="F12" s="13"/>
      <c r="G12" s="13"/>
      <c r="H12" s="13"/>
    </row>
    <row r="13" spans="1:8" ht="85" x14ac:dyDescent="0.2">
      <c r="A13" s="16" t="s">
        <v>11</v>
      </c>
      <c r="B13" s="13" t="s">
        <v>66</v>
      </c>
      <c r="C13" s="13" t="s">
        <v>61</v>
      </c>
      <c r="D13" s="13"/>
      <c r="E13" s="13"/>
      <c r="F13" s="13"/>
      <c r="G13" s="13"/>
      <c r="H13" s="13"/>
    </row>
    <row r="14" spans="1:8" x14ac:dyDescent="0.2">
      <c r="A14" s="15"/>
      <c r="B14" s="13"/>
      <c r="C14" s="13"/>
      <c r="D14" s="13"/>
      <c r="E14" s="13"/>
      <c r="F14" s="13"/>
      <c r="G14" s="13"/>
      <c r="H14" s="13"/>
    </row>
    <row r="15" spans="1:8" ht="136" x14ac:dyDescent="0.2">
      <c r="A15" s="16" t="s">
        <v>12</v>
      </c>
      <c r="B15" s="13" t="s">
        <v>62</v>
      </c>
      <c r="C15" s="13" t="s">
        <v>73</v>
      </c>
      <c r="D15" s="13"/>
      <c r="E15" s="13"/>
      <c r="F15" s="13"/>
      <c r="G15" s="13"/>
      <c r="H15" s="13"/>
    </row>
    <row r="16" spans="1:8" x14ac:dyDescent="0.2">
      <c r="A16" s="15"/>
      <c r="B16" s="13"/>
      <c r="C16" s="13"/>
      <c r="D16" s="13"/>
      <c r="E16" s="13"/>
      <c r="F16" s="13"/>
      <c r="G16" s="13"/>
      <c r="H16" s="13"/>
    </row>
    <row r="17" spans="1:8" ht="68" x14ac:dyDescent="0.2">
      <c r="A17" s="16" t="s">
        <v>13</v>
      </c>
      <c r="B17" s="13" t="s">
        <v>62</v>
      </c>
      <c r="C17" s="13" t="s">
        <v>48</v>
      </c>
      <c r="D17" s="13"/>
      <c r="E17" s="13"/>
      <c r="F17" s="13"/>
      <c r="G17" s="13"/>
      <c r="H17" s="13"/>
    </row>
    <row r="18" spans="1:8" x14ac:dyDescent="0.2">
      <c r="A18" s="15"/>
      <c r="B18" s="13"/>
      <c r="C18" s="13"/>
      <c r="D18" s="13"/>
      <c r="E18" s="13"/>
      <c r="F18" s="13"/>
      <c r="G18" s="13"/>
      <c r="H18" s="13"/>
    </row>
    <row r="19" spans="1:8" ht="85" x14ac:dyDescent="0.2">
      <c r="A19" s="16" t="s">
        <v>14</v>
      </c>
      <c r="B19" s="13" t="s">
        <v>65</v>
      </c>
      <c r="C19" s="13" t="s">
        <v>63</v>
      </c>
      <c r="D19" s="13" t="s">
        <v>69</v>
      </c>
      <c r="E19" s="13" t="s">
        <v>71</v>
      </c>
      <c r="F19" s="13"/>
      <c r="G19" s="13"/>
      <c r="H19" s="13"/>
    </row>
    <row r="20" spans="1:8" x14ac:dyDescent="0.2">
      <c r="A20" s="15"/>
      <c r="B20" s="13"/>
      <c r="C20" s="13"/>
      <c r="D20" s="13"/>
      <c r="E20" s="13"/>
      <c r="F20" s="13"/>
      <c r="G20" s="13"/>
      <c r="H20" s="13"/>
    </row>
    <row r="21" spans="1:8" ht="17" x14ac:dyDescent="0.2">
      <c r="A21" s="16" t="s">
        <v>15</v>
      </c>
      <c r="B21" s="13" t="s">
        <v>49</v>
      </c>
      <c r="C21" s="13"/>
      <c r="D21" s="13"/>
      <c r="E21" s="13"/>
      <c r="F21" s="13"/>
      <c r="G21" s="13"/>
      <c r="H21" s="13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92BDC-8CCC-BD46-909B-C91437614A7D}">
  <dimension ref="B2:B5"/>
  <sheetViews>
    <sheetView workbookViewId="0">
      <selection activeCell="B6" sqref="B6"/>
    </sheetView>
  </sheetViews>
  <sheetFormatPr baseColWidth="10" defaultRowHeight="16" x14ac:dyDescent="0.2"/>
  <sheetData>
    <row r="2" spans="2:2" x14ac:dyDescent="0.2">
      <c r="B2" t="s">
        <v>187</v>
      </c>
    </row>
    <row r="3" spans="2:2" x14ac:dyDescent="0.2">
      <c r="B3" t="s">
        <v>188</v>
      </c>
    </row>
    <row r="4" spans="2:2" x14ac:dyDescent="0.2">
      <c r="B4" t="s">
        <v>189</v>
      </c>
    </row>
    <row r="5" spans="2:2" x14ac:dyDescent="0.2">
      <c r="B5" t="s">
        <v>190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8F22-4B82-B547-9A21-1DE098682F51}">
  <dimension ref="A2:G30"/>
  <sheetViews>
    <sheetView workbookViewId="0">
      <selection activeCell="A20" sqref="A20"/>
    </sheetView>
  </sheetViews>
  <sheetFormatPr baseColWidth="10" defaultRowHeight="16" x14ac:dyDescent="0.2"/>
  <sheetData>
    <row r="2" spans="1:7" x14ac:dyDescent="0.2">
      <c r="A2" t="s">
        <v>75</v>
      </c>
      <c r="B2" t="s">
        <v>74</v>
      </c>
    </row>
    <row r="3" spans="1:7" x14ac:dyDescent="0.2">
      <c r="A3" t="s">
        <v>88</v>
      </c>
      <c r="B3" t="s">
        <v>76</v>
      </c>
    </row>
    <row r="4" spans="1:7" x14ac:dyDescent="0.2">
      <c r="A4" t="s">
        <v>89</v>
      </c>
      <c r="B4" t="s">
        <v>77</v>
      </c>
    </row>
    <row r="5" spans="1:7" x14ac:dyDescent="0.2">
      <c r="A5" t="s">
        <v>90</v>
      </c>
      <c r="B5" t="s">
        <v>78</v>
      </c>
    </row>
    <row r="6" spans="1:7" x14ac:dyDescent="0.2">
      <c r="B6" t="s">
        <v>79</v>
      </c>
      <c r="D6" t="s">
        <v>86</v>
      </c>
      <c r="G6" t="s">
        <v>91</v>
      </c>
    </row>
    <row r="7" spans="1:7" x14ac:dyDescent="0.2">
      <c r="B7" t="s">
        <v>80</v>
      </c>
    </row>
    <row r="8" spans="1:7" x14ac:dyDescent="0.2">
      <c r="B8" t="s">
        <v>81</v>
      </c>
    </row>
    <row r="9" spans="1:7" x14ac:dyDescent="0.2">
      <c r="B9" t="s">
        <v>82</v>
      </c>
    </row>
    <row r="10" spans="1:7" x14ac:dyDescent="0.2">
      <c r="B10" t="s">
        <v>83</v>
      </c>
    </row>
    <row r="11" spans="1:7" x14ac:dyDescent="0.2">
      <c r="B11" t="s">
        <v>84</v>
      </c>
    </row>
    <row r="12" spans="1:7" x14ac:dyDescent="0.2">
      <c r="B12" t="s">
        <v>85</v>
      </c>
    </row>
    <row r="13" spans="1:7" x14ac:dyDescent="0.2">
      <c r="B13" t="s">
        <v>87</v>
      </c>
    </row>
    <row r="17" spans="1:6" x14ac:dyDescent="0.2">
      <c r="A17" t="s">
        <v>92</v>
      </c>
    </row>
    <row r="19" spans="1:6" x14ac:dyDescent="0.2">
      <c r="A19" s="17" t="s">
        <v>75</v>
      </c>
      <c r="B19" t="s">
        <v>88</v>
      </c>
      <c r="C19" t="s">
        <v>89</v>
      </c>
      <c r="D19" t="s">
        <v>90</v>
      </c>
      <c r="F19" t="s">
        <v>93</v>
      </c>
    </row>
    <row r="20" spans="1:6" x14ac:dyDescent="0.2">
      <c r="A20" s="17" t="s">
        <v>74</v>
      </c>
      <c r="B20" t="s">
        <v>76</v>
      </c>
    </row>
    <row r="21" spans="1:6" x14ac:dyDescent="0.2">
      <c r="B21" t="s">
        <v>77</v>
      </c>
    </row>
    <row r="22" spans="1:6" x14ac:dyDescent="0.2">
      <c r="B22" t="s">
        <v>78</v>
      </c>
    </row>
    <row r="23" spans="1:6" x14ac:dyDescent="0.2">
      <c r="B23" t="s">
        <v>79</v>
      </c>
    </row>
    <row r="24" spans="1:6" x14ac:dyDescent="0.2">
      <c r="B24" t="s">
        <v>82</v>
      </c>
    </row>
    <row r="25" spans="1:6" x14ac:dyDescent="0.2">
      <c r="B25" t="s">
        <v>83</v>
      </c>
      <c r="D25" t="s">
        <v>94</v>
      </c>
    </row>
    <row r="26" spans="1:6" x14ac:dyDescent="0.2">
      <c r="B26" t="s">
        <v>84</v>
      </c>
    </row>
    <row r="27" spans="1:6" x14ac:dyDescent="0.2">
      <c r="B27" t="s">
        <v>85</v>
      </c>
    </row>
    <row r="28" spans="1:6" x14ac:dyDescent="0.2">
      <c r="B28" t="s">
        <v>80</v>
      </c>
    </row>
    <row r="29" spans="1:6" x14ac:dyDescent="0.2">
      <c r="B29" t="s">
        <v>81</v>
      </c>
    </row>
    <row r="30" spans="1:6" x14ac:dyDescent="0.2">
      <c r="B30" t="s">
        <v>87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E6B93-786E-8F47-A71D-8FC2DE8EB106}">
  <dimension ref="B3:AA28"/>
  <sheetViews>
    <sheetView workbookViewId="0">
      <selection activeCell="I28" sqref="I28"/>
    </sheetView>
  </sheetViews>
  <sheetFormatPr baseColWidth="10" defaultRowHeight="16" x14ac:dyDescent="0.2"/>
  <sheetData>
    <row r="3" spans="2:27" x14ac:dyDescent="0.2">
      <c r="L3" s="12" t="s">
        <v>105</v>
      </c>
      <c r="M3" s="12"/>
      <c r="N3" s="12"/>
      <c r="O3" s="12"/>
      <c r="P3" s="12"/>
      <c r="Q3" s="12"/>
      <c r="R3" s="12"/>
      <c r="S3" s="12"/>
    </row>
    <row r="4" spans="2:27" x14ac:dyDescent="0.2">
      <c r="L4" s="12" t="s">
        <v>106</v>
      </c>
      <c r="M4" s="12"/>
      <c r="N4" s="12"/>
      <c r="O4" s="12"/>
      <c r="P4" s="12"/>
      <c r="Q4" s="12"/>
      <c r="R4" s="12"/>
      <c r="S4" s="12"/>
    </row>
    <row r="5" spans="2:27" x14ac:dyDescent="0.2">
      <c r="L5" s="12" t="s">
        <v>107</v>
      </c>
      <c r="M5" s="12"/>
      <c r="N5" s="12"/>
      <c r="O5" s="12"/>
      <c r="P5" s="12"/>
      <c r="Q5" s="12"/>
      <c r="R5" s="12"/>
      <c r="S5" s="12"/>
    </row>
    <row r="6" spans="2:27" x14ac:dyDescent="0.2">
      <c r="L6" s="12" t="s">
        <v>108</v>
      </c>
      <c r="M6" s="12"/>
      <c r="N6" s="12"/>
      <c r="O6" s="12"/>
      <c r="P6" s="12"/>
      <c r="Q6" s="12"/>
      <c r="R6" s="12"/>
      <c r="S6" s="12"/>
    </row>
    <row r="7" spans="2:27" x14ac:dyDescent="0.2">
      <c r="B7" t="s">
        <v>98</v>
      </c>
      <c r="F7" t="s">
        <v>110</v>
      </c>
      <c r="G7" t="s">
        <v>111</v>
      </c>
      <c r="L7" s="12" t="s">
        <v>128</v>
      </c>
    </row>
    <row r="8" spans="2:27" x14ac:dyDescent="0.2">
      <c r="B8" t="s">
        <v>99</v>
      </c>
      <c r="C8" t="s">
        <v>111</v>
      </c>
      <c r="D8" t="s">
        <v>145</v>
      </c>
      <c r="E8" t="s">
        <v>150</v>
      </c>
      <c r="F8" t="s">
        <v>112</v>
      </c>
      <c r="G8" t="s">
        <v>116</v>
      </c>
    </row>
    <row r="9" spans="2:27" x14ac:dyDescent="0.2">
      <c r="B9" t="s">
        <v>100</v>
      </c>
      <c r="F9" t="s">
        <v>113</v>
      </c>
      <c r="G9" t="s">
        <v>117</v>
      </c>
      <c r="L9" s="12" t="s">
        <v>132</v>
      </c>
      <c r="T9" t="s">
        <v>139</v>
      </c>
      <c r="X9" t="s">
        <v>140</v>
      </c>
      <c r="AA9" t="s">
        <v>142</v>
      </c>
    </row>
    <row r="10" spans="2:27" x14ac:dyDescent="0.2">
      <c r="B10" t="s">
        <v>101</v>
      </c>
      <c r="F10" t="s">
        <v>114</v>
      </c>
      <c r="K10" s="12"/>
      <c r="L10" s="12" t="s">
        <v>133</v>
      </c>
      <c r="M10" s="12"/>
      <c r="N10" s="12"/>
      <c r="AA10" t="s">
        <v>143</v>
      </c>
    </row>
    <row r="11" spans="2:27" x14ac:dyDescent="0.2">
      <c r="B11" t="s">
        <v>102</v>
      </c>
      <c r="G11" t="s">
        <v>115</v>
      </c>
      <c r="K11" s="12"/>
      <c r="L11" s="12" t="s">
        <v>134</v>
      </c>
      <c r="M11" s="12"/>
      <c r="N11" s="12"/>
      <c r="AA11" t="s">
        <v>144</v>
      </c>
    </row>
    <row r="12" spans="2:27" x14ac:dyDescent="0.2">
      <c r="B12" t="s">
        <v>103</v>
      </c>
      <c r="E12" t="s">
        <v>123</v>
      </c>
      <c r="L12" s="12" t="s">
        <v>136</v>
      </c>
    </row>
    <row r="13" spans="2:27" x14ac:dyDescent="0.2">
      <c r="B13" t="s">
        <v>104</v>
      </c>
      <c r="L13" s="12" t="s">
        <v>137</v>
      </c>
    </row>
    <row r="14" spans="2:27" x14ac:dyDescent="0.2">
      <c r="B14" t="s">
        <v>109</v>
      </c>
      <c r="L14" s="12" t="s">
        <v>141</v>
      </c>
    </row>
    <row r="15" spans="2:27" x14ac:dyDescent="0.2">
      <c r="B15" t="s">
        <v>120</v>
      </c>
    </row>
    <row r="16" spans="2:27" x14ac:dyDescent="0.2">
      <c r="B16" t="s">
        <v>121</v>
      </c>
      <c r="E16" t="s">
        <v>122</v>
      </c>
      <c r="G16" t="s">
        <v>138</v>
      </c>
    </row>
    <row r="17" spans="2:16" x14ac:dyDescent="0.2">
      <c r="B17" t="s">
        <v>129</v>
      </c>
    </row>
    <row r="18" spans="2:16" x14ac:dyDescent="0.2">
      <c r="B18" t="s">
        <v>130</v>
      </c>
      <c r="C18" s="12"/>
      <c r="D18" s="12"/>
      <c r="E18" s="12"/>
      <c r="F18" s="12"/>
      <c r="G18" s="12"/>
      <c r="H18" s="12"/>
      <c r="I18" s="12"/>
      <c r="J18" s="12"/>
    </row>
    <row r="19" spans="2:16" x14ac:dyDescent="0.2">
      <c r="B19" t="s">
        <v>131</v>
      </c>
      <c r="C19" s="12"/>
      <c r="D19" t="s">
        <v>148</v>
      </c>
      <c r="E19" s="12"/>
      <c r="F19" s="12"/>
      <c r="G19" s="12"/>
      <c r="H19" s="12"/>
      <c r="I19" s="12"/>
      <c r="J19" s="12"/>
    </row>
    <row r="20" spans="2:16" x14ac:dyDescent="0.2">
      <c r="B20" t="s">
        <v>147</v>
      </c>
      <c r="C20" s="12"/>
      <c r="D20" s="12"/>
      <c r="E20" s="12"/>
      <c r="F20" s="12"/>
      <c r="G20" s="12"/>
      <c r="H20" s="12"/>
      <c r="I20" s="12"/>
      <c r="J20" s="12"/>
      <c r="P20" t="s">
        <v>124</v>
      </c>
    </row>
    <row r="21" spans="2:16" x14ac:dyDescent="0.2">
      <c r="B21" t="s">
        <v>149</v>
      </c>
      <c r="C21" s="12"/>
      <c r="D21" s="12"/>
      <c r="E21" s="12"/>
      <c r="F21" s="12"/>
      <c r="G21" s="12"/>
      <c r="H21" s="12"/>
      <c r="I21" s="12"/>
      <c r="J21" s="12"/>
      <c r="P21" t="s">
        <v>125</v>
      </c>
    </row>
    <row r="22" spans="2:16" x14ac:dyDescent="0.2">
      <c r="B22" s="12" t="s">
        <v>151</v>
      </c>
      <c r="P22" t="s">
        <v>126</v>
      </c>
    </row>
    <row r="23" spans="2:16" x14ac:dyDescent="0.2">
      <c r="P23" t="s">
        <v>127</v>
      </c>
    </row>
    <row r="25" spans="2:16" x14ac:dyDescent="0.2">
      <c r="B25" t="s">
        <v>118</v>
      </c>
    </row>
    <row r="26" spans="2:16" x14ac:dyDescent="0.2">
      <c r="B26" t="s">
        <v>119</v>
      </c>
    </row>
    <row r="27" spans="2:16" x14ac:dyDescent="0.2">
      <c r="B27" t="s">
        <v>135</v>
      </c>
    </row>
    <row r="28" spans="2:16" x14ac:dyDescent="0.2">
      <c r="B28" t="s">
        <v>146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overall(최종)</vt:lpstr>
      <vt:lpstr>Process</vt:lpstr>
      <vt:lpstr>codes and themes</vt:lpstr>
      <vt:lpstr>spec for first</vt:lpstr>
      <vt:lpstr>spec for analysis</vt:lpstr>
      <vt:lpstr>spec for second</vt:lpstr>
      <vt:lpstr>spec for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Minsik Choi</dc:creator>
  <cp:lastModifiedBy>Minsik Choi</cp:lastModifiedBy>
  <dcterms:created xsi:type="dcterms:W3CDTF">2023-07-18T04:25:35Z</dcterms:created>
  <dcterms:modified xsi:type="dcterms:W3CDTF">2024-05-19T12:03:29Z</dcterms:modified>
</cp:coreProperties>
</file>